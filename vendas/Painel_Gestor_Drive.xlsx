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Vendedores" sheetId="2" state="visible" r:id="rId2"/>
    <sheet xmlns:r="http://schemas.openxmlformats.org/officeDocument/2006/relationships" name="Resumo geral" sheetId="3" state="visible" r:id="rId3"/>
    <sheet xmlns:r="http://schemas.openxmlformats.org/officeDocument/2006/relationships" name="Cadastro e Pix" sheetId="4" state="visible" r:id="rId4"/>
    <sheet xmlns:r="http://schemas.openxmlformats.org/officeDocument/2006/relationships" name="Detal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14395C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395C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Painel do gestor (Google Planilhas)</t>
        </is>
      </c>
    </row>
    <row r="2">
      <c r="A2" t="inlineStr">
        <is>
          <t>1. Envie este arquivo ao Drive e abra com Google Planilhas.</t>
        </is>
      </c>
    </row>
    <row r="3">
      <c r="A3" t="inlineStr">
        <is>
          <t>2. Na aba 'Vendedores', digite o nome e cole o LINK da planilha de cada vendedor (você precisa ter acesso a ela).</t>
        </is>
      </c>
    </row>
    <row r="4">
      <c r="A4" t="inlineStr">
        <is>
          <t>3. Na primeira vez, o Google mostra #REF! com o botão 'Permitir acesso' em cada célula: clique para liberar a ligação.</t>
        </is>
      </c>
    </row>
    <row r="5">
      <c r="A5" t="inlineStr">
        <is>
          <t>4. 'Resumo geral' mostra negócios, ganhos e comissão de cada um; 'Cadastro e Pix' mostra os dados de pagamento;</t>
        </is>
      </c>
    </row>
    <row r="6">
      <c r="A6" t="inlineStr">
        <is>
          <t xml:space="preserve">   'Detalhe' lista todos os negócios de um vendedor/aba escolhidos.</t>
        </is>
      </c>
    </row>
    <row r="7">
      <c r="A7" t="inlineStr">
        <is>
          <t>Obs.: as linhas de TOTAL do Resumo de cada vendedor são lidas da linha 17 da aba Resumo.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2" t="inlineStr">
        <is>
          <t>Vendedor</t>
        </is>
      </c>
      <c r="B1" s="2" t="inlineStr">
        <is>
          <t>Link da planilha do vendedor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Vendedor</t>
        </is>
      </c>
      <c r="B1" s="2" t="inlineStr">
        <is>
          <t>Negócios</t>
        </is>
      </c>
      <c r="C1" s="2" t="inlineStr">
        <is>
          <t>Ganhos</t>
        </is>
      </c>
      <c r="D1" s="2" t="inlineStr">
        <is>
          <t>Comissão a pagar</t>
        </is>
      </c>
    </row>
    <row r="2">
      <c r="A2">
        <f>IF(Vendedores!A2="","",Vendedores!A2)</f>
        <v/>
      </c>
      <c r="B2">
        <f>IF(Vendedores!$B2="","",IMPORTRANGE(Vendedores!$B2,"Resumo!C17"))</f>
        <v/>
      </c>
      <c r="C2">
        <f>IF(Vendedores!$B2="","",IMPORTRANGE(Vendedores!$B2,"Resumo!E17"))</f>
        <v/>
      </c>
      <c r="D2" s="4">
        <f>IF(Vendedores!$B2="","",IMPORTRANGE(Vendedores!$B2,"Resumo!G17"))</f>
        <v/>
      </c>
    </row>
    <row r="3">
      <c r="A3">
        <f>IF(Vendedores!A3="","",Vendedores!A3)</f>
        <v/>
      </c>
      <c r="B3">
        <f>IF(Vendedores!$B3="","",IMPORTRANGE(Vendedores!$B3,"Resumo!C17"))</f>
        <v/>
      </c>
      <c r="C3">
        <f>IF(Vendedores!$B3="","",IMPORTRANGE(Vendedores!$B3,"Resumo!E17"))</f>
        <v/>
      </c>
      <c r="D3" s="4">
        <f>IF(Vendedores!$B3="","",IMPORTRANGE(Vendedores!$B3,"Resumo!G17"))</f>
        <v/>
      </c>
    </row>
    <row r="4">
      <c r="A4">
        <f>IF(Vendedores!A4="","",Vendedores!A4)</f>
        <v/>
      </c>
      <c r="B4">
        <f>IF(Vendedores!$B4="","",IMPORTRANGE(Vendedores!$B4,"Resumo!C17"))</f>
        <v/>
      </c>
      <c r="C4">
        <f>IF(Vendedores!$B4="","",IMPORTRANGE(Vendedores!$B4,"Resumo!E17"))</f>
        <v/>
      </c>
      <c r="D4" s="4">
        <f>IF(Vendedores!$B4="","",IMPORTRANGE(Vendedores!$B4,"Resumo!G17"))</f>
        <v/>
      </c>
    </row>
    <row r="5">
      <c r="A5">
        <f>IF(Vendedores!A5="","",Vendedores!A5)</f>
        <v/>
      </c>
      <c r="B5">
        <f>IF(Vendedores!$B5="","",IMPORTRANGE(Vendedores!$B5,"Resumo!C17"))</f>
        <v/>
      </c>
      <c r="C5">
        <f>IF(Vendedores!$B5="","",IMPORTRANGE(Vendedores!$B5,"Resumo!E17"))</f>
        <v/>
      </c>
      <c r="D5" s="4">
        <f>IF(Vendedores!$B5="","",IMPORTRANGE(Vendedores!$B5,"Resumo!G17"))</f>
        <v/>
      </c>
    </row>
    <row r="6">
      <c r="A6">
        <f>IF(Vendedores!A6="","",Vendedores!A6)</f>
        <v/>
      </c>
      <c r="B6">
        <f>IF(Vendedores!$B6="","",IMPORTRANGE(Vendedores!$B6,"Resumo!C17"))</f>
        <v/>
      </c>
      <c r="C6">
        <f>IF(Vendedores!$B6="","",IMPORTRANGE(Vendedores!$B6,"Resumo!E17"))</f>
        <v/>
      </c>
      <c r="D6" s="4">
        <f>IF(Vendedores!$B6="","",IMPORTRANGE(Vendedores!$B6,"Resumo!G17"))</f>
        <v/>
      </c>
    </row>
    <row r="7">
      <c r="A7">
        <f>IF(Vendedores!A7="","",Vendedores!A7)</f>
        <v/>
      </c>
      <c r="B7">
        <f>IF(Vendedores!$B7="","",IMPORTRANGE(Vendedores!$B7,"Resumo!C17"))</f>
        <v/>
      </c>
      <c r="C7">
        <f>IF(Vendedores!$B7="","",IMPORTRANGE(Vendedores!$B7,"Resumo!E17"))</f>
        <v/>
      </c>
      <c r="D7" s="4">
        <f>IF(Vendedores!$B7="","",IMPORTRANGE(Vendedores!$B7,"Resumo!G17"))</f>
        <v/>
      </c>
    </row>
    <row r="8">
      <c r="A8">
        <f>IF(Vendedores!A8="","",Vendedores!A8)</f>
        <v/>
      </c>
      <c r="B8">
        <f>IF(Vendedores!$B8="","",IMPORTRANGE(Vendedores!$B8,"Resumo!C17"))</f>
        <v/>
      </c>
      <c r="C8">
        <f>IF(Vendedores!$B8="","",IMPORTRANGE(Vendedores!$B8,"Resumo!E17"))</f>
        <v/>
      </c>
      <c r="D8" s="4">
        <f>IF(Vendedores!$B8="","",IMPORTRANGE(Vendedores!$B8,"Resumo!G17"))</f>
        <v/>
      </c>
    </row>
    <row r="9">
      <c r="A9">
        <f>IF(Vendedores!A9="","",Vendedores!A9)</f>
        <v/>
      </c>
      <c r="B9">
        <f>IF(Vendedores!$B9="","",IMPORTRANGE(Vendedores!$B9,"Resumo!C17"))</f>
        <v/>
      </c>
      <c r="C9">
        <f>IF(Vendedores!$B9="","",IMPORTRANGE(Vendedores!$B9,"Resumo!E17"))</f>
        <v/>
      </c>
      <c r="D9" s="4">
        <f>IF(Vendedores!$B9="","",IMPORTRANGE(Vendedores!$B9,"Resumo!G17"))</f>
        <v/>
      </c>
    </row>
    <row r="10">
      <c r="A10">
        <f>IF(Vendedores!A10="","",Vendedores!A10)</f>
        <v/>
      </c>
      <c r="B10">
        <f>IF(Vendedores!$B10="","",IMPORTRANGE(Vendedores!$B10,"Resumo!C17"))</f>
        <v/>
      </c>
      <c r="C10">
        <f>IF(Vendedores!$B10="","",IMPORTRANGE(Vendedores!$B10,"Resumo!E17"))</f>
        <v/>
      </c>
      <c r="D10" s="4">
        <f>IF(Vendedores!$B10="","",IMPORTRANGE(Vendedores!$B10,"Resumo!G17"))</f>
        <v/>
      </c>
    </row>
    <row r="11">
      <c r="A11">
        <f>IF(Vendedores!A11="","",Vendedores!A11)</f>
        <v/>
      </c>
      <c r="B11">
        <f>IF(Vendedores!$B11="","",IMPORTRANGE(Vendedores!$B11,"Resumo!C17"))</f>
        <v/>
      </c>
      <c r="C11">
        <f>IF(Vendedores!$B11="","",IMPORTRANGE(Vendedores!$B11,"Resumo!E17"))</f>
        <v/>
      </c>
      <c r="D11" s="4">
        <f>IF(Vendedores!$B11="","",IMPORTRANGE(Vendedores!$B11,"Resumo!G17"))</f>
        <v/>
      </c>
    </row>
    <row r="12">
      <c r="A12">
        <f>IF(Vendedores!A12="","",Vendedores!A12)</f>
        <v/>
      </c>
      <c r="B12">
        <f>IF(Vendedores!$B12="","",IMPORTRANGE(Vendedores!$B12,"Resumo!C17"))</f>
        <v/>
      </c>
      <c r="C12">
        <f>IF(Vendedores!$B12="","",IMPORTRANGE(Vendedores!$B12,"Resumo!E17"))</f>
        <v/>
      </c>
      <c r="D12" s="4">
        <f>IF(Vendedores!$B12="","",IMPORTRANGE(Vendedores!$B12,"Resumo!G17"))</f>
        <v/>
      </c>
    </row>
    <row r="13">
      <c r="A13">
        <f>IF(Vendedores!A13="","",Vendedores!A13)</f>
        <v/>
      </c>
      <c r="B13">
        <f>IF(Vendedores!$B13="","",IMPORTRANGE(Vendedores!$B13,"Resumo!C17"))</f>
        <v/>
      </c>
      <c r="C13">
        <f>IF(Vendedores!$B13="","",IMPORTRANGE(Vendedores!$B13,"Resumo!E17"))</f>
        <v/>
      </c>
      <c r="D13" s="4">
        <f>IF(Vendedores!$B13="","",IMPORTRANGE(Vendedores!$B13,"Resumo!G17"))</f>
        <v/>
      </c>
    </row>
    <row r="14">
      <c r="A14">
        <f>IF(Vendedores!A14="","",Vendedores!A14)</f>
        <v/>
      </c>
      <c r="B14">
        <f>IF(Vendedores!$B14="","",IMPORTRANGE(Vendedores!$B14,"Resumo!C17"))</f>
        <v/>
      </c>
      <c r="C14">
        <f>IF(Vendedores!$B14="","",IMPORTRANGE(Vendedores!$B14,"Resumo!E17"))</f>
        <v/>
      </c>
      <c r="D14" s="4">
        <f>IF(Vendedores!$B14="","",IMPORTRANGE(Vendedores!$B14,"Resumo!G17"))</f>
        <v/>
      </c>
    </row>
    <row r="15">
      <c r="A15">
        <f>IF(Vendedores!A15="","",Vendedores!A15)</f>
        <v/>
      </c>
      <c r="B15">
        <f>IF(Vendedores!$B15="","",IMPORTRANGE(Vendedores!$B15,"Resumo!C17"))</f>
        <v/>
      </c>
      <c r="C15">
        <f>IF(Vendedores!$B15="","",IMPORTRANGE(Vendedores!$B15,"Resumo!E17"))</f>
        <v/>
      </c>
      <c r="D15" s="4">
        <f>IF(Vendedores!$B15="","",IMPORTRANGE(Vendedores!$B15,"Resumo!G17"))</f>
        <v/>
      </c>
    </row>
    <row r="16">
      <c r="A16">
        <f>IF(Vendedores!A16="","",Vendedores!A16)</f>
        <v/>
      </c>
      <c r="B16">
        <f>IF(Vendedores!$B16="","",IMPORTRANGE(Vendedores!$B16,"Resumo!C17"))</f>
        <v/>
      </c>
      <c r="C16">
        <f>IF(Vendedores!$B16="","",IMPORTRANGE(Vendedores!$B16,"Resumo!E17"))</f>
        <v/>
      </c>
      <c r="D16" s="4">
        <f>IF(Vendedores!$B16="","",IMPORTRANGE(Vendedores!$B16,"Resumo!G17"))</f>
        <v/>
      </c>
    </row>
    <row r="17">
      <c r="A17" s="5" t="inlineStr">
        <is>
          <t>TOTAL</t>
        </is>
      </c>
      <c r="B17" s="5">
        <f>SUM(B2:B16)</f>
        <v/>
      </c>
      <c r="C17" s="5">
        <f>SUM(C2:C16)</f>
        <v/>
      </c>
      <c r="D17" s="6">
        <f>SUM(D2:D16)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2" t="inlineStr">
        <is>
          <t>Vendedor</t>
        </is>
      </c>
      <c r="B1" s="2" t="inlineStr">
        <is>
          <t>Nome completo</t>
        </is>
      </c>
      <c r="C1" s="2" t="inlineStr">
        <is>
          <t>CPF</t>
        </is>
      </c>
      <c r="D1" s="2" t="inlineStr">
        <is>
          <t>CNPJ / MEI (se tiver)</t>
        </is>
      </c>
      <c r="E1" s="2" t="inlineStr">
        <is>
          <t>Endereço completo</t>
        </is>
      </c>
      <c r="F1" s="2" t="inlineStr">
        <is>
          <t>Cidade / UF</t>
        </is>
      </c>
      <c r="G1" s="2" t="inlineStr">
        <is>
          <t>CEP</t>
        </is>
      </c>
      <c r="H1" s="2" t="inlineStr">
        <is>
          <t>E-mail</t>
        </is>
      </c>
      <c r="I1" s="2" t="inlineStr">
        <is>
          <t>WhatsApp</t>
        </is>
      </c>
      <c r="J1" s="2" t="inlineStr">
        <is>
          <t>Chave Pix (tipo e chave)</t>
        </is>
      </c>
      <c r="K1" s="2" t="inlineStr">
        <is>
          <t>Banco / Agência / Conta (se não usar Pix)</t>
        </is>
      </c>
    </row>
    <row r="2">
      <c r="A2">
        <f>IF(Vendedores!A2="","",Vendedores!A2)</f>
        <v/>
      </c>
      <c r="B2">
        <f>IF(Vendedores!$B2="","",TRANSPOSE(IMPORTRANGE(Vendedores!$B2,"'Cadastro e Termo'!B4:B13")))</f>
        <v/>
      </c>
    </row>
    <row r="3">
      <c r="A3">
        <f>IF(Vendedores!A3="","",Vendedores!A3)</f>
        <v/>
      </c>
      <c r="B3">
        <f>IF(Vendedores!$B3="","",TRANSPOSE(IMPORTRANGE(Vendedores!$B3,"'Cadastro e Termo'!B4:B13")))</f>
        <v/>
      </c>
    </row>
    <row r="4">
      <c r="A4">
        <f>IF(Vendedores!A4="","",Vendedores!A4)</f>
        <v/>
      </c>
      <c r="B4">
        <f>IF(Vendedores!$B4="","",TRANSPOSE(IMPORTRANGE(Vendedores!$B4,"'Cadastro e Termo'!B4:B13")))</f>
        <v/>
      </c>
    </row>
    <row r="5">
      <c r="A5">
        <f>IF(Vendedores!A5="","",Vendedores!A5)</f>
        <v/>
      </c>
      <c r="B5">
        <f>IF(Vendedores!$B5="","",TRANSPOSE(IMPORTRANGE(Vendedores!$B5,"'Cadastro e Termo'!B4:B13")))</f>
        <v/>
      </c>
    </row>
    <row r="6">
      <c r="A6">
        <f>IF(Vendedores!A6="","",Vendedores!A6)</f>
        <v/>
      </c>
      <c r="B6">
        <f>IF(Vendedores!$B6="","",TRANSPOSE(IMPORTRANGE(Vendedores!$B6,"'Cadastro e Termo'!B4:B13")))</f>
        <v/>
      </c>
    </row>
    <row r="7">
      <c r="A7">
        <f>IF(Vendedores!A7="","",Vendedores!A7)</f>
        <v/>
      </c>
      <c r="B7">
        <f>IF(Vendedores!$B7="","",TRANSPOSE(IMPORTRANGE(Vendedores!$B7,"'Cadastro e Termo'!B4:B13")))</f>
        <v/>
      </c>
    </row>
    <row r="8">
      <c r="A8">
        <f>IF(Vendedores!A8="","",Vendedores!A8)</f>
        <v/>
      </c>
      <c r="B8">
        <f>IF(Vendedores!$B8="","",TRANSPOSE(IMPORTRANGE(Vendedores!$B8,"'Cadastro e Termo'!B4:B13")))</f>
        <v/>
      </c>
    </row>
    <row r="9">
      <c r="A9">
        <f>IF(Vendedores!A9="","",Vendedores!A9)</f>
        <v/>
      </c>
      <c r="B9">
        <f>IF(Vendedores!$B9="","",TRANSPOSE(IMPORTRANGE(Vendedores!$B9,"'Cadastro e Termo'!B4:B13")))</f>
        <v/>
      </c>
    </row>
    <row r="10">
      <c r="A10">
        <f>IF(Vendedores!A10="","",Vendedores!A10)</f>
        <v/>
      </c>
      <c r="B10">
        <f>IF(Vendedores!$B10="","",TRANSPOSE(IMPORTRANGE(Vendedores!$B10,"'Cadastro e Termo'!B4:B13")))</f>
        <v/>
      </c>
    </row>
    <row r="11">
      <c r="A11">
        <f>IF(Vendedores!A11="","",Vendedores!A11)</f>
        <v/>
      </c>
      <c r="B11">
        <f>IF(Vendedores!$B11="","",TRANSPOSE(IMPORTRANGE(Vendedores!$B11,"'Cadastro e Termo'!B4:B13")))</f>
        <v/>
      </c>
    </row>
    <row r="12">
      <c r="A12">
        <f>IF(Vendedores!A12="","",Vendedores!A12)</f>
        <v/>
      </c>
      <c r="B12">
        <f>IF(Vendedores!$B12="","",TRANSPOSE(IMPORTRANGE(Vendedores!$B12,"'Cadastro e Termo'!B4:B13")))</f>
        <v/>
      </c>
    </row>
    <row r="13">
      <c r="A13">
        <f>IF(Vendedores!A13="","",Vendedores!A13)</f>
        <v/>
      </c>
      <c r="B13">
        <f>IF(Vendedores!$B13="","",TRANSPOSE(IMPORTRANGE(Vendedores!$B13,"'Cadastro e Termo'!B4:B13")))</f>
        <v/>
      </c>
    </row>
    <row r="14">
      <c r="A14">
        <f>IF(Vendedores!A14="","",Vendedores!A14)</f>
        <v/>
      </c>
      <c r="B14">
        <f>IF(Vendedores!$B14="","",TRANSPOSE(IMPORTRANGE(Vendedores!$B14,"'Cadastro e Termo'!B4:B13")))</f>
        <v/>
      </c>
    </row>
    <row r="15">
      <c r="A15">
        <f>IF(Vendedores!A15="","",Vendedores!A15)</f>
        <v/>
      </c>
      <c r="B15">
        <f>IF(Vendedores!$B15="","",TRANSPOSE(IMPORTRANGE(Vendedores!$B15,"'Cadastro e Termo'!B4:B13")))</f>
        <v/>
      </c>
    </row>
    <row r="16">
      <c r="A16">
        <f>IF(Vendedores!A16="","",Vendedores!A16)</f>
        <v/>
      </c>
      <c r="B16">
        <f>IF(Vendedores!$B16="","",TRANSPOSE(IMPORTRANGE(Vendedores!$B16,"'Cadastro e Termo'!B4:B13")))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Vendedor:</t>
        </is>
      </c>
      <c r="B1" s="3" t="inlineStr">
        <is>
          <t>(escolha)</t>
        </is>
      </c>
    </row>
    <row r="2">
      <c r="A2" s="5" t="inlineStr">
        <is>
          <t>Aba (empresa):</t>
        </is>
      </c>
      <c r="B2" s="3" t="inlineStr">
        <is>
          <t>Uningá</t>
        </is>
      </c>
    </row>
    <row r="4">
      <c r="A4">
        <f>IF(COUNTIF(Vendedores!A:A,B1)=0,"Escolha o vendedor e a aba",IMPORTRANGE(VLOOKUP(B1,Vendedores!A:B,2,FALSE),"'"&amp;B2&amp;"'!A5:M505"))</f>
        <v/>
      </c>
    </row>
  </sheetData>
  <dataValidations count="2">
    <dataValidation sqref="B1" showDropDown="0" showInputMessage="0" showErrorMessage="0" allowBlank="1" type="list">
      <formula1>=Vendedores!$A$2:$A$16</formula1>
    </dataValidation>
    <dataValidation sqref="B2" showDropDown="0" showInputMessage="0" showErrorMessage="0" allowBlank="1" type="list">
      <formula1>"Uningá,Dental Pós Cursos,Dentalpos One,Alignsystem,Dentalpos Clínica,SpaceHour,Dentalpos Componentes,Wmundi Sites,Wmundi Campanhas,Wmundi Mkt Recorrente,Novo produto 1,Novo produto 2,Novo produto 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2026-10-09T11:14:42Z</dcterms:created>
  <dcterms:modified xmlns:dcterms="http://purl.org/dc/terms/" xmlns:xsi="http://www.w3.org/2001/XMLSchema-instance" xsi:type="dcterms:W3CDTF">2026-10-09T11:14:42Z</dcterms:modified>
</cp:coreProperties>
</file>